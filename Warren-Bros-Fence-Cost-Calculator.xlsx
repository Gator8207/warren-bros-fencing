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Price List" sheetId="2" state="visible" r:id="rId4"/>
    <sheet name="Notes &amp; 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<sst xmlns="http://schemas.openxmlformats.org/spreadsheetml/2006/main" count="242" uniqueCount="175">
  <si>
    <t xml:space="preserve">Warren Bros Fencing - Cedar Fence Material Calculator</t>
  </si>
  <si>
    <t xml:space="preserve">Prices from B&amp;B Lumber + Home Depot (06/05/2026). Yellow cells = your inputs.</t>
  </si>
  <si>
    <t xml:space="preserve">JOB INPUTS</t>
  </si>
  <si>
    <t xml:space="preserve">Total fence length (linear feet)</t>
  </si>
  <si>
    <t xml:space="preserve">Fence height (ft)</t>
  </si>
  <si>
    <t xml:space="preserve">Picket style</t>
  </si>
  <si>
    <t xml:space="preserve">1x8x6' Premium Heavy 7/8in (21mm)</t>
  </si>
  <si>
    <t xml:space="preserve">Gap between pickets (in)  [0 = full privacy]</t>
  </si>
  <si>
    <t xml:space="preserve">Number of rails</t>
  </si>
  <si>
    <t xml:space="preserve">Rail board</t>
  </si>
  <si>
    <t xml:space="preserve">2x4x8' Cedar Fence Rail S4S</t>
  </si>
  <si>
    <t xml:space="preserve">Post spacing (ft on-center)</t>
  </si>
  <si>
    <t xml:space="preserve">Post type</t>
  </si>
  <si>
    <t xml:space="preserve">4x4x8' Cedar Post</t>
  </si>
  <si>
    <t xml:space="preserve">Concrete mix</t>
  </si>
  <si>
    <t xml:space="preserve">Quikrete 60 lb bag</t>
  </si>
  <si>
    <t xml:space="preserve">Bags of concrete per post  [0 if driving posts]</t>
  </si>
  <si>
    <t xml:space="preserve">Include kickboard / rot board?</t>
  </si>
  <si>
    <t xml:space="preserve">No</t>
  </si>
  <si>
    <t xml:space="preserve">Kickboard board (if Yes)</t>
  </si>
  <si>
    <t xml:space="preserve">2x6x8' Rough Cedar (kickboard)</t>
  </si>
  <si>
    <t xml:space="preserve">Waste / breakage %</t>
  </si>
  <si>
    <t xml:space="preserve">Sales tax %</t>
  </si>
  <si>
    <t xml:space="preserve">Assumption - picket actual width (in)</t>
  </si>
  <si>
    <t xml:space="preserve">(1x8 = 7.5in)</t>
  </si>
  <si>
    <t xml:space="preserve">MATERIAL TAKEOFF</t>
  </si>
  <si>
    <t xml:space="preserve">Material</t>
  </si>
  <si>
    <t xml:space="preserve">Qty</t>
  </si>
  <si>
    <t xml:space="preserve">U/M</t>
  </si>
  <si>
    <t xml:space="preserve">Unit Price</t>
  </si>
  <si>
    <t xml:space="preserve">Line Cost</t>
  </si>
  <si>
    <t xml:space="preserve">Pickets</t>
  </si>
  <si>
    <t xml:space="preserve">EA</t>
  </si>
  <si>
    <t xml:space="preserve">Rails</t>
  </si>
  <si>
    <t xml:space="preserve">Posts</t>
  </si>
  <si>
    <t xml:space="preserve">Concrete (bags)</t>
  </si>
  <si>
    <t xml:space="preserve">BAG</t>
  </si>
  <si>
    <t xml:space="preserve">Kickboard / rot board</t>
  </si>
  <si>
    <t xml:space="preserve">Subtotal</t>
  </si>
  <si>
    <t xml:space="preserve">Sales tax</t>
  </si>
  <si>
    <t xml:space="preserve">TOTAL MATERIAL</t>
  </si>
  <si>
    <t xml:space="preserve">Material cost / linear ft</t>
  </si>
  <si>
    <t xml:space="preserve">BID BUILDER  (cost + overhead + margin)</t>
  </si>
  <si>
    <t xml:space="preserve">Labor rate ($ / person-hour)</t>
  </si>
  <si>
    <t xml:space="preserve">Crew size (people)</t>
  </si>
  <si>
    <t xml:space="preserve">Productivity (linear ft / clock-hour)</t>
  </si>
  <si>
    <t xml:space="preserve">clock hrs:</t>
  </si>
  <si>
    <t xml:space="preserve">Overhead % (insurance, truck, fuel, tools, mktg)</t>
  </si>
  <si>
    <t xml:space="preserve">Target profit margin %</t>
  </si>
  <si>
    <t xml:space="preserve">Number of gates</t>
  </si>
  <si>
    <t xml:space="preserve">Price per gate (material + labor, $)</t>
  </si>
  <si>
    <t xml:space="preserve">Tear-out / haul-off old fence ($)</t>
  </si>
  <si>
    <t xml:space="preserve">Hard dig / rock / slope adder ($)</t>
  </si>
  <si>
    <t xml:space="preserve">BID CALCULATION</t>
  </si>
  <si>
    <t xml:space="preserve">Material cost (incl. tax)</t>
  </si>
  <si>
    <t xml:space="preserve">Labor cost</t>
  </si>
  <si>
    <t xml:space="preserve">Gates</t>
  </si>
  <si>
    <t xml:space="preserve">Site adders (tear-out, rock, slope)</t>
  </si>
  <si>
    <t xml:space="preserve">Direct cost subtotal</t>
  </si>
  <si>
    <t xml:space="preserve">Overhead</t>
  </si>
  <si>
    <t xml:space="preserve">Total cost</t>
  </si>
  <si>
    <t xml:space="preserve">BID PRICE (quote the customer)</t>
  </si>
  <si>
    <t xml:space="preserve">Profit at this bid</t>
  </si>
  <si>
    <t xml:space="preserve">Bid price / linear ft</t>
  </si>
  <si>
    <t xml:space="preserve">Effective markup vs. materials</t>
  </si>
  <si>
    <t xml:space="preserve">Benchmark: $35-50/lf installed in suburban Wichita. KS may tax install labor - confirm with your accountant; this sheet taxes materials only.</t>
  </si>
  <si>
    <t xml:space="preserve">Display Name</t>
  </si>
  <si>
    <t xml:space="preserve">Code</t>
  </si>
  <si>
    <t xml:space="preserve">Description</t>
  </si>
  <si>
    <t xml:space="preserve">Unit</t>
  </si>
  <si>
    <t xml:space="preserve">Price</t>
  </si>
  <si>
    <t xml:space="preserve">Category</t>
  </si>
  <si>
    <t xml:space="preserve">Length (ft)</t>
  </si>
  <si>
    <t xml:space="preserve">Source</t>
  </si>
  <si>
    <t xml:space="preserve">186CHD</t>
  </si>
  <si>
    <t xml:space="preserve">FENCE 1X8X6' 7/8in CEDAR DOG EARRED PREMIUM 21mm</t>
  </si>
  <si>
    <t xml:space="preserve">Picket</t>
  </si>
  <si>
    <t xml:space="preserve">B&amp;B</t>
  </si>
  <si>
    <t xml:space="preserve">1x8x6' Medium 23/32in (18mm)</t>
  </si>
  <si>
    <t xml:space="preserve">186CMD</t>
  </si>
  <si>
    <t xml:space="preserve">FENCE 1X8X6' 23/32in CEDAR DOG EARRED 18MM</t>
  </si>
  <si>
    <t xml:space="preserve">1x8x6' Select 5/8in (15mm)</t>
  </si>
  <si>
    <t xml:space="preserve">186SELECT</t>
  </si>
  <si>
    <t xml:space="preserve">FENCE 1X8X6' 5/8in 15mm CEDAR Dog Earred</t>
  </si>
  <si>
    <t xml:space="preserve">1x8x8' Select 5/8in (15mm)</t>
  </si>
  <si>
    <t xml:space="preserve">188SELECT</t>
  </si>
  <si>
    <t xml:space="preserve">FENCE 1X8X8' 5/8in 15mm CEDAR Dog Earred</t>
  </si>
  <si>
    <t xml:space="preserve">1x8x8' Heavy 7/8in (21mm)</t>
  </si>
  <si>
    <t xml:space="preserve">188CHD</t>
  </si>
  <si>
    <t xml:space="preserve">FENCE 1X8X8'HVY 7/8in 21mm CEDAR FENCE</t>
  </si>
  <si>
    <t xml:space="preserve">2408CFR</t>
  </si>
  <si>
    <t xml:space="preserve">2 X 4-08 CEDAR FENCE RAIL S4S GRN STD&amp;BTR NO HOLE</t>
  </si>
  <si>
    <t xml:space="preserve">Rail</t>
  </si>
  <si>
    <t xml:space="preserve">2x4x10' Cedar Fence Rail S4S</t>
  </si>
  <si>
    <t xml:space="preserve">2410CFR</t>
  </si>
  <si>
    <t xml:space="preserve">2 X 4-10 CEDAR FENCE RAIL S4S</t>
  </si>
  <si>
    <t xml:space="preserve">2x4x8' Rough Cedar</t>
  </si>
  <si>
    <t xml:space="preserve">2408C</t>
  </si>
  <si>
    <t xml:space="preserve">CED- 2 X 4-08 ROUGH CEDAR</t>
  </si>
  <si>
    <t xml:space="preserve">2x4x8' Smooth Cedar S4S</t>
  </si>
  <si>
    <t xml:space="preserve">2408CS4S</t>
  </si>
  <si>
    <t xml:space="preserve">CED- 2 X 4-08 SMOOTH CEDAR S4S</t>
  </si>
  <si>
    <t xml:space="preserve">Metal U-Post 8' G-90</t>
  </si>
  <si>
    <t xml:space="preserve">PMS8</t>
  </si>
  <si>
    <t xml:space="preserve">METAL U-SHAPED 8' G-90 POST</t>
  </si>
  <si>
    <t xml:space="preserve">Post</t>
  </si>
  <si>
    <t xml:space="preserve">Metal U-Post 10' G-90</t>
  </si>
  <si>
    <t xml:space="preserve">PMS10</t>
  </si>
  <si>
    <t xml:space="preserve">METAL U-SHAPED 10' G-90 POST</t>
  </si>
  <si>
    <t xml:space="preserve">Post Terminal 2-3/8in x 8'</t>
  </si>
  <si>
    <t xml:space="preserve">8MP</t>
  </si>
  <si>
    <t xml:space="preserve">POST TERMINAL .065 2-3/8INX8FT</t>
  </si>
  <si>
    <t xml:space="preserve">Post Metal 2-3/8in x 10' HD</t>
  </si>
  <si>
    <t xml:space="preserve">10MP</t>
  </si>
  <si>
    <t xml:space="preserve">Post Metal .065 2-3/8inX10' HDUTY</t>
  </si>
  <si>
    <t xml:space="preserve">4X4X8CED</t>
  </si>
  <si>
    <t xml:space="preserve">4 x 4 x 8' Cedar Post</t>
  </si>
  <si>
    <t xml:space="preserve">Home Depot</t>
  </si>
  <si>
    <t xml:space="preserve">4x4x10' Cedar Post</t>
  </si>
  <si>
    <t xml:space="preserve">4X4X10CED</t>
  </si>
  <si>
    <t xml:space="preserve">4 x 4 x 10' Cedar Post</t>
  </si>
  <si>
    <t xml:space="preserve">4x4x12' Cedar Post</t>
  </si>
  <si>
    <t xml:space="preserve">4X4X12CED</t>
  </si>
  <si>
    <t xml:space="preserve">4 x 4 x 12' Cedar Post</t>
  </si>
  <si>
    <t xml:space="preserve">2608C</t>
  </si>
  <si>
    <t xml:space="preserve">CED- 2 X 6-08 ROUGH CEDAR</t>
  </si>
  <si>
    <t xml:space="preserve">Kickboard</t>
  </si>
  <si>
    <t xml:space="preserve">2x6x16' Rough Cedar (kickboard)</t>
  </si>
  <si>
    <t xml:space="preserve">2616C</t>
  </si>
  <si>
    <t xml:space="preserve">CED- 2 X 6-16 ROUGH CEDAR</t>
  </si>
  <si>
    <t xml:space="preserve">QUIK60</t>
  </si>
  <si>
    <t xml:space="preserve">Quikrete Fast-Setting Concrete Mix, 60 lb</t>
  </si>
  <si>
    <t xml:space="preserve">Concrete</t>
  </si>
  <si>
    <t xml:space="preserve">Quikrete 80 lb bag</t>
  </si>
  <si>
    <t xml:space="preserve">QUIK80</t>
  </si>
  <si>
    <t xml:space="preserve">Quikrete Fast-Setting Concrete Mix, 80 lb</t>
  </si>
  <si>
    <t xml:space="preserve">1x4x8' Cedar (trim/cap)</t>
  </si>
  <si>
    <t xml:space="preserve">1408C</t>
  </si>
  <si>
    <t xml:space="preserve">CED- 1 X 4-08 #3 &amp; BTR S1S2E CEDAR</t>
  </si>
  <si>
    <t xml:space="preserve">Trim</t>
  </si>
  <si>
    <t xml:space="preserve">1x4x16' Cedar (trim/cap)</t>
  </si>
  <si>
    <t xml:space="preserve">1416C</t>
  </si>
  <si>
    <t xml:space="preserve">CED- 1 X 4-16 #3 &amp; BTR S1S2E CEDAR</t>
  </si>
  <si>
    <t xml:space="preserve">Sources: B&amp;B Lumber Quote #2606-664566 (Wichita KS, 06/05/2026, expired 06/08/2026) for pickets, rails, metal posts, kickboard, trim. Home Depot (06/05/2026) for 4x4 cedar posts and Quikrete. All prices per-unit, before tax. Re-verify before bidding.</t>
  </si>
  <si>
    <t xml:space="preserve">HOW TO USE</t>
  </si>
  <si>
    <t xml:space="preserve">Fill in the yellow cells on the Calculator tab. Everything else calculates automatically.</t>
  </si>
  <si>
    <t xml:space="preserve">Pick picket / rail / post / concrete / kickboard from the dropdowns (sourced from the Price List tab).</t>
  </si>
  <si>
    <t xml:space="preserve">FORMULAS</t>
  </si>
  <si>
    <t xml:space="preserve">Pickets   = roundup( length_ft x 12 / (picket_width + gap) ) x (1 + waste), rounded up.</t>
  </si>
  <si>
    <t xml:space="preserve">            Picket actual width defaults to 7.5in (a 1x8 board). Gap 0 = full privacy.</t>
  </si>
  <si>
    <t xml:space="preserve">Rails     = roundup( length_ft x number_of_rails / rail_board_length ) x (1 + waste).</t>
  </si>
  <si>
    <t xml:space="preserve">Posts     = roundup( length_ft / post_spacing ) + 1 end post.</t>
  </si>
  <si>
    <t xml:space="preserve">Concrete  = bags_per_post x posts. Set bags per post to 0 if you drive metal posts.</t>
  </si>
  <si>
    <t xml:space="preserve">Kickboard = roundup( length_ft / board_length ), only if set to Yes.</t>
  </si>
  <si>
    <t xml:space="preserve">BID BUILDER - how the quote is priced</t>
  </si>
  <si>
    <t xml:space="preserve">This is how pros bid: cost it up in layers, then apply margin. Do NOT just mark up materials.</t>
  </si>
  <si>
    <t xml:space="preserve">Labor cost   = crew_size x (length_ft / productivity) x labor_rate.  Productivity = lf per clock-hour (~20 = 100 lf in 5 hrs, 2-person crew).</t>
  </si>
  <si>
    <t xml:space="preserve">Direct cost  = material (incl. tax) + labor + gates + site adders.</t>
  </si>
  <si>
    <t xml:space="preserve">Total cost   = direct cost x (1 + overhead%).  Overhead = insurance, truck, fuel, tools, marketing (~20-30%).</t>
  </si>
  <si>
    <t xml:space="preserve">BID PRICE    = total cost / (1 - target margin%).  Residential fencing targets ~25-35% margin.</t>
  </si>
  <si>
    <t xml:space="preserve">Effective markup vs. materials line = bid / material cost (usually ~2-2.5x). That ratio is the RESULT of</t>
  </si>
  <si>
    <t xml:space="preserve">pricing labor + overhead + margin, not the method you price by.</t>
  </si>
  <si>
    <t xml:space="preserve">Adders: gates $150-400 each; tear-out/haul-off; hard digging / rock / slope. Each gate also needs an extra post.</t>
  </si>
  <si>
    <t xml:space="preserve">BUILD CONVENTIONS (verified June 2026)</t>
  </si>
  <si>
    <t xml:space="preserve">- Posts: 8 ft on-center is the residential wood-fence standard. Drop to 6 ft for high-wind runs.</t>
  </si>
  <si>
    <t xml:space="preserve">- Rails: 2 rails for fences under 6 ft; 3 rails for 6 ft+ (recommended in Kansas wind).</t>
  </si>
  <si>
    <t xml:space="preserve">- Posts/rails must exceed fence height; pickets should match height (6 ft picket = 6 ft fence).</t>
  </si>
  <si>
    <t xml:space="preserve">- A 6 ft fence uses 8 ft posts set ~2 ft deep; an 8 ft fence uses 10-12 ft posts. Concrete ~2 bags/post typical.</t>
  </si>
  <si>
    <t xml:space="preserve">STILL NOT INCLUDED (add manually if needed)</t>
  </si>
  <si>
    <t xml:space="preserve">Screws/nails, post caps, gate hardware specifics, permit fees, sales commission.</t>
  </si>
  <si>
    <t xml:space="preserve">Each gate opening needs an extra post - bump the post count or add to the gate adder.</t>
  </si>
  <si>
    <t xml:space="preserve">SOURCES</t>
  </si>
  <si>
    <t xml:space="preserve">B&amp;B Lumber Quote #2606-664566 (Wichita KS, 06/05/2026, expired 06/08/2026): pickets, rails, metal posts, kickboard, trim.</t>
  </si>
  <si>
    <t xml:space="preserve">Home Depot (06/05/2026): 4x4 cedar posts ($11.98 / $18.38 / $21.68) and Quikrete 60 lb $4.68 / 80 lb $6.24.</t>
  </si>
  <si>
    <t xml:space="preserve">Prices are date-stamped - re-confirm before bidding a real job.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</si>
</sst>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.00"/>
    <numFmt numFmtId="167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A3C"/>
        <bgColor rgb="FF666666"/>
      </patternFill>
    </fill>
    <fill>
      <patternFill patternType="solid">
        <fgColor rgb="FFD9E8D9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A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</row>
    <row r="5" customFormat="false" ht="15" hidden="false" customHeight="false" outlineLevel="0" collapsed="false">
      <c r="B5" s="4" t="s">
        <v>3</v>
      </c>
      <c r="C5" s="5" t="n">
        <v>100</v>
      </c>
    </row>
    <row r="6" customFormat="false" ht="15" hidden="false" customHeight="false" outlineLevel="0" collapsed="false">
      <c r="B6" s="4" t="s">
        <v>4</v>
      </c>
      <c r="C6" s="5" t="n">
        <v>6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n">
        <v>0</v>
      </c>
    </row>
    <row r="9" customFormat="false" ht="15" hidden="false" customHeight="false" outlineLevel="0" collapsed="false">
      <c r="B9" s="4" t="s">
        <v>8</v>
      </c>
      <c r="C9" s="5" t="n">
        <v>3</v>
      </c>
    </row>
    <row r="10" customFormat="false" ht="15" hidden="false" customHeight="false" outlineLevel="0" collapsed="false">
      <c r="B10" s="4" t="s">
        <v>9</v>
      </c>
      <c r="C10" s="5" t="s">
        <v>10</v>
      </c>
    </row>
    <row r="11" customFormat="false" ht="15" hidden="false" customHeight="false" outlineLevel="0" collapsed="false">
      <c r="B11" s="4" t="s">
        <v>11</v>
      </c>
      <c r="C11" s="5" t="n">
        <v>8</v>
      </c>
    </row>
    <row r="12" customFormat="false" ht="15" hidden="false" customHeight="false" outlineLevel="0" collapsed="false">
      <c r="B12" s="4" t="s">
        <v>12</v>
      </c>
      <c r="C12" s="5" t="s">
        <v>13</v>
      </c>
    </row>
    <row r="13" customFormat="false" ht="15" hidden="false" customHeight="false" outlineLevel="0" collapsed="false">
      <c r="B13" s="4" t="s">
        <v>14</v>
      </c>
      <c r="C13" s="5" t="s">
        <v>15</v>
      </c>
    </row>
    <row r="14" customFormat="false" ht="15" hidden="false" customHeight="false" outlineLevel="0" collapsed="false">
      <c r="B14" s="4" t="s">
        <v>16</v>
      </c>
      <c r="C14" s="5" t="n">
        <v>2</v>
      </c>
    </row>
    <row r="15" customFormat="false" ht="15" hidden="false" customHeight="false" outlineLevel="0" collapsed="false">
      <c r="B15" s="4" t="s">
        <v>17</v>
      </c>
      <c r="C15" s="5" t="s">
        <v>18</v>
      </c>
    </row>
    <row r="16" customFormat="false" ht="15" hidden="false" customHeight="false" outlineLevel="0" collapsed="false">
      <c r="B16" s="4" t="s">
        <v>19</v>
      </c>
      <c r="C16" s="5" t="s">
        <v>20</v>
      </c>
    </row>
    <row r="17" customFormat="false" ht="15" hidden="false" customHeight="false" outlineLevel="0" collapsed="false">
      <c r="B17" s="4" t="s">
        <v>21</v>
      </c>
      <c r="C17" s="6" t="n">
        <v>0.1</v>
      </c>
    </row>
    <row r="18" customFormat="false" ht="15" hidden="false" customHeight="false" outlineLevel="0" collapsed="false">
      <c r="B18" s="4" t="s">
        <v>22</v>
      </c>
      <c r="C18" s="6" t="n">
        <v>0.075</v>
      </c>
    </row>
    <row r="20" customFormat="false" ht="15" hidden="false" customHeight="false" outlineLevel="0" collapsed="false">
      <c r="B20" s="4" t="s">
        <v>23</v>
      </c>
      <c r="C20" s="7" t="n">
        <v>7.5</v>
      </c>
      <c r="D20" s="8" t="s">
        <v>24</v>
      </c>
    </row>
    <row r="22" customFormat="false" ht="15" hidden="false" customHeight="false" outlineLevel="0" collapsed="false">
      <c r="B22" s="3" t="s">
        <v>25</v>
      </c>
      <c r="C22" s="3"/>
      <c r="D22" s="3"/>
      <c r="E22" s="3"/>
      <c r="F22" s="3"/>
    </row>
    <row r="23" customFormat="false" ht="15" hidden="false" customHeight="false" outlineLevel="0" collapsed="false">
      <c r="B23" s="9" t="s">
        <v>26</v>
      </c>
      <c r="C23" s="9" t="s">
        <v>27</v>
      </c>
      <c r="D23" s="9" t="s">
        <v>28</v>
      </c>
      <c r="E23" s="9" t="s">
        <v>29</v>
      </c>
      <c r="F23" s="9" t="s">
        <v>30</v>
      </c>
    </row>
    <row r="24" customFormat="false" ht="15" hidden="false" customHeight="false" outlineLevel="0" collapsed="false">
      <c r="B24" s="10" t="s">
        <v>31</v>
      </c>
      <c r="C24" s="11" t="n">
        <f aca="false">ROUNDUP(ROUNDUP($C$5*12/($C$20+$C$8),0)*(1+$C$17),0)</f>
        <v>176</v>
      </c>
      <c r="D24" s="11" t="s">
        <v>32</v>
      </c>
      <c r="E24" s="12" t="n">
        <f aca="false">INDEX('Price List'!$E:$E,MATCH($C$7,'Price List'!$A:$A,0))</f>
        <v>6.36</v>
      </c>
      <c r="F24" s="12" t="n">
        <f aca="false">C24*E24</f>
        <v>1119.36</v>
      </c>
    </row>
    <row r="25" customFormat="false" ht="15" hidden="false" customHeight="false" outlineLevel="0" collapsed="false">
      <c r="B25" s="10" t="s">
        <v>33</v>
      </c>
      <c r="C25" s="11" t="n">
        <f aca="false">ROUNDUP($C$5*$C$9/INDEX('Price List'!$G:$G,MATCH($C$10,'Price List'!$A:$A,0))*(1+$C$17),0)</f>
        <v>42</v>
      </c>
      <c r="D25" s="11" t="s">
        <v>32</v>
      </c>
      <c r="E25" s="12" t="n">
        <f aca="false">INDEX('Price List'!$E:$E,MATCH($C$10,'Price List'!$A:$A,0))</f>
        <v>6.96</v>
      </c>
      <c r="F25" s="12" t="n">
        <f aca="false">C25*E25</f>
        <v>292.32</v>
      </c>
    </row>
    <row r="26" customFormat="false" ht="15" hidden="false" customHeight="false" outlineLevel="0" collapsed="false">
      <c r="B26" s="10" t="s">
        <v>34</v>
      </c>
      <c r="C26" s="11" t="n">
        <f aca="false">ROUNDUP($C$5/$C$11,0)+1</f>
        <v>14</v>
      </c>
      <c r="D26" s="11" t="s">
        <v>32</v>
      </c>
      <c r="E26" s="12" t="n">
        <f aca="false">INDEX('Price List'!$E:$E,MATCH($C$12,'Price List'!$A:$A,0))</f>
        <v>11.98</v>
      </c>
      <c r="F26" s="12" t="n">
        <f aca="false">C26*E26</f>
        <v>167.72</v>
      </c>
    </row>
    <row r="27" customFormat="false" ht="15" hidden="false" customHeight="false" outlineLevel="0" collapsed="false">
      <c r="B27" s="10" t="s">
        <v>35</v>
      </c>
      <c r="C27" s="11" t="n">
        <f aca="false">ROUNDUP($C$14*C26,0)</f>
        <v>28</v>
      </c>
      <c r="D27" s="11" t="s">
        <v>36</v>
      </c>
      <c r="E27" s="12" t="n">
        <f aca="false">INDEX('Price List'!$E:$E,MATCH($C$13,'Price List'!$A:$A,0))</f>
        <v>4.68</v>
      </c>
      <c r="F27" s="12" t="n">
        <f aca="false">C27*E27</f>
        <v>131.04</v>
      </c>
    </row>
    <row r="28" customFormat="false" ht="15" hidden="false" customHeight="false" outlineLevel="0" collapsed="false">
      <c r="B28" s="10" t="s">
        <v>37</v>
      </c>
      <c r="C28" s="11" t="n">
        <f aca="false">IF($C$15="Yes",ROUNDUP($C$5/INDEX('Price List'!$G:$G,MATCH($C$16,'Price List'!$A:$A,0)),0),0)</f>
        <v>0</v>
      </c>
      <c r="D28" s="11" t="s">
        <v>32</v>
      </c>
      <c r="E28" s="12" t="n">
        <f aca="false">INDEX('Price List'!$E:$E,MATCH($C$16,'Price List'!$A:$A,0))</f>
        <v>28</v>
      </c>
      <c r="F28" s="12" t="n">
        <f aca="false">C28*E28</f>
        <v>0</v>
      </c>
    </row>
    <row r="29" customFormat="false" ht="15" hidden="false" customHeight="false" outlineLevel="0" collapsed="false">
      <c r="E29" s="13" t="s">
        <v>38</v>
      </c>
      <c r="F29" s="14" t="n">
        <f aca="false">SUM(F24:F28)</f>
        <v>1710.44</v>
      </c>
    </row>
    <row r="30" customFormat="false" ht="15" hidden="false" customHeight="false" outlineLevel="0" collapsed="false">
      <c r="E30" s="15" t="s">
        <v>39</v>
      </c>
      <c r="F30" s="16" t="n">
        <f aca="false">F29*$C$18</f>
        <v>128.283</v>
      </c>
    </row>
    <row r="31" customFormat="false" ht="15" hidden="false" customHeight="false" outlineLevel="0" collapsed="false">
      <c r="E31" s="13" t="s">
        <v>40</v>
      </c>
      <c r="F31" s="17" t="n">
        <f aca="false">F29+F30</f>
        <v>1838.723</v>
      </c>
    </row>
    <row r="32" customFormat="false" ht="15" hidden="false" customHeight="false" outlineLevel="0" collapsed="false">
      <c r="E32" s="15" t="s">
        <v>41</v>
      </c>
      <c r="F32" s="16" t="n">
        <f aca="false">F31/$C$5</f>
        <v>18.38723</v>
      </c>
    </row>
    <row r="34" customFormat="false" ht="15" hidden="false" customHeight="false" outlineLevel="0" collapsed="false">
      <c r="B34" s="3" t="s">
        <v>42</v>
      </c>
      <c r="C34" s="3"/>
      <c r="D34" s="3"/>
      <c r="E34" s="3"/>
      <c r="F34" s="3"/>
    </row>
    <row r="35" customFormat="false" ht="15" hidden="false" customHeight="false" outlineLevel="0" collapsed="false">
      <c r="B35" s="4" t="s">
        <v>43</v>
      </c>
      <c r="C35" s="18" t="n">
        <v>60</v>
      </c>
    </row>
    <row r="36" customFormat="false" ht="15" hidden="false" customHeight="false" outlineLevel="0" collapsed="false">
      <c r="B36" s="4" t="s">
        <v>44</v>
      </c>
      <c r="C36" s="5" t="n">
        <v>2</v>
      </c>
    </row>
    <row r="37" customFormat="false" ht="15" hidden="false" customHeight="false" outlineLevel="0" collapsed="false">
      <c r="B37" s="4" t="s">
        <v>45</v>
      </c>
      <c r="C37" s="5" t="n">
        <v>20</v>
      </c>
      <c r="E37" s="8" t="s">
        <v>46</v>
      </c>
      <c r="F37" s="8" t="n">
        <f aca="false">IF($C$37=0,0,ROUND($C$5/$C$37,1))</f>
        <v>5</v>
      </c>
    </row>
    <row r="38" customFormat="false" ht="15" hidden="false" customHeight="false" outlineLevel="0" collapsed="false">
      <c r="B38" s="4" t="s">
        <v>47</v>
      </c>
      <c r="C38" s="6" t="n">
        <v>0.25</v>
      </c>
    </row>
    <row r="39" customFormat="false" ht="15" hidden="false" customHeight="false" outlineLevel="0" collapsed="false">
      <c r="B39" s="4" t="s">
        <v>48</v>
      </c>
      <c r="C39" s="6" t="n">
        <v>0.3</v>
      </c>
    </row>
    <row r="40" customFormat="false" ht="15" hidden="false" customHeight="false" outlineLevel="0" collapsed="false">
      <c r="B40" s="4" t="s">
        <v>49</v>
      </c>
      <c r="C40" s="5" t="n">
        <v>0</v>
      </c>
    </row>
    <row r="41" customFormat="false" ht="15" hidden="false" customHeight="false" outlineLevel="0" collapsed="false">
      <c r="B41" s="4" t="s">
        <v>50</v>
      </c>
      <c r="C41" s="18" t="n">
        <v>250</v>
      </c>
    </row>
    <row r="42" customFormat="false" ht="15" hidden="false" customHeight="false" outlineLevel="0" collapsed="false">
      <c r="B42" s="4" t="s">
        <v>51</v>
      </c>
      <c r="C42" s="18" t="n">
        <v>0</v>
      </c>
    </row>
    <row r="43" customFormat="false" ht="15" hidden="false" customHeight="false" outlineLevel="0" collapsed="false">
      <c r="B43" s="4" t="s">
        <v>52</v>
      </c>
      <c r="C43" s="18" t="n">
        <v>0</v>
      </c>
    </row>
    <row r="45" customFormat="false" ht="15" hidden="false" customHeight="false" outlineLevel="0" collapsed="false">
      <c r="B45" s="3" t="s">
        <v>53</v>
      </c>
      <c r="C45" s="3"/>
      <c r="D45" s="3"/>
      <c r="E45" s="3"/>
      <c r="F45" s="3"/>
    </row>
    <row r="46" customFormat="false" ht="15" hidden="false" customHeight="false" outlineLevel="0" collapsed="false">
      <c r="B46" s="4" t="s">
        <v>54</v>
      </c>
      <c r="F46" s="19" t="n">
        <f aca="false">F31</f>
        <v>1838.723</v>
      </c>
    </row>
    <row r="47" customFormat="false" ht="15" hidden="false" customHeight="false" outlineLevel="0" collapsed="false">
      <c r="B47" s="4" t="s">
        <v>55</v>
      </c>
      <c r="F47" s="16" t="n">
        <f aca="false">IF($C$37=0,0,$C$36*($C$5/$C$37)*$C$35)</f>
        <v>600</v>
      </c>
    </row>
    <row r="48" customFormat="false" ht="15" hidden="false" customHeight="false" outlineLevel="0" collapsed="false">
      <c r="B48" s="4" t="s">
        <v>56</v>
      </c>
      <c r="F48" s="16" t="n">
        <f aca="false">$C$40*$C$41</f>
        <v>0</v>
      </c>
    </row>
    <row r="49" customFormat="false" ht="15" hidden="false" customHeight="false" outlineLevel="0" collapsed="false">
      <c r="B49" s="4" t="s">
        <v>57</v>
      </c>
      <c r="F49" s="16" t="n">
        <f aca="false">$C$42+$C$43</f>
        <v>0</v>
      </c>
    </row>
    <row r="50" customFormat="false" ht="15" hidden="false" customHeight="false" outlineLevel="0" collapsed="false">
      <c r="B50" s="20" t="s">
        <v>58</v>
      </c>
      <c r="F50" s="14" t="n">
        <f aca="false">SUM(F46:F49)</f>
        <v>2438.723</v>
      </c>
    </row>
    <row r="51" customFormat="false" ht="15" hidden="false" customHeight="false" outlineLevel="0" collapsed="false">
      <c r="B51" s="4" t="s">
        <v>59</v>
      </c>
      <c r="F51" s="16" t="n">
        <f aca="false">F50*$C$38</f>
        <v>609.68075</v>
      </c>
    </row>
    <row r="52" customFormat="false" ht="15" hidden="false" customHeight="false" outlineLevel="0" collapsed="false">
      <c r="B52" s="20" t="s">
        <v>60</v>
      </c>
      <c r="F52" s="14" t="n">
        <f aca="false">F50+F51</f>
        <v>3048.40375</v>
      </c>
    </row>
    <row r="53" customFormat="false" ht="15" hidden="false" customHeight="false" outlineLevel="0" collapsed="false">
      <c r="B53" s="20" t="s">
        <v>61</v>
      </c>
      <c r="F53" s="17" t="n">
        <f aca="false">IF($C$39&gt;=1,0,F52/(1-$C$39))</f>
        <v>4354.8625</v>
      </c>
    </row>
    <row r="54" customFormat="false" ht="15" hidden="false" customHeight="false" outlineLevel="0" collapsed="false">
      <c r="B54" s="20" t="s">
        <v>62</v>
      </c>
      <c r="F54" s="14" t="n">
        <f aca="false">F53-F52</f>
        <v>1306.45875</v>
      </c>
    </row>
    <row r="55" customFormat="false" ht="15" hidden="false" customHeight="false" outlineLevel="0" collapsed="false">
      <c r="B55" s="4" t="s">
        <v>63</v>
      </c>
      <c r="F55" s="16" t="n">
        <f aca="false">IF($C$5=0,0,F53/$C$5)</f>
        <v>43.548625</v>
      </c>
    </row>
    <row r="56" customFormat="false" ht="15" hidden="false" customHeight="false" outlineLevel="0" collapsed="false">
      <c r="B56" s="4" t="s">
        <v>64</v>
      </c>
      <c r="F56" s="21" t="n">
        <f aca="false">IF(F46=0,0,F53/F46)</f>
        <v>2.36841683059384</v>
      </c>
    </row>
    <row r="58" customFormat="false" ht="15" hidden="false" customHeight="false" outlineLevel="0" collapsed="false">
      <c r="B58" s="22" t="s">
        <v>65</v>
      </c>
      <c r="C58" s="22"/>
      <c r="D58" s="22"/>
      <c r="E58" s="22"/>
      <c r="F58" s="22"/>
    </row>
  </sheetData>
  <mergeCells count="7">
    <mergeCell ref="B1:F1"/>
    <mergeCell ref="B2:F2"/>
    <mergeCell ref="B4:F4"/>
    <mergeCell ref="B22:F22"/>
    <mergeCell ref="B34:F34"/>
    <mergeCell ref="B45:F45"/>
    <mergeCell ref="B58:F58"/>
  </mergeCells>
  <dataValidations count="8">
    <dataValidation allowBlank="false" errorStyle="stop" operator="between" showDropDown="false" showErrorMessage="false" showInputMessage="false" sqref="C6" type="list">
      <formula1>"6,8"</formula1>
      <formula2>0</formula2>
    </dataValidation>
    <dataValidation allowBlank="false" errorStyle="stop" operator="between" showDropDown="false" showErrorMessage="false" showInputMessage="false" sqref="C9" type="list">
      <formula1>"2,3"</formula1>
      <formula2>0</formula2>
    </dataValidation>
    <dataValidation allowBlank="false" errorStyle="stop" operator="between" showDropDown="false" showErrorMessage="false" showInputMessage="false" sqref="C15" type="list">
      <formula1>"Yes,No"</formula1>
      <formula2>0</formula2>
    </dataValidation>
    <dataValidation allowBlank="false" errorStyle="stop" operator="between" showDropDown="false" showErrorMessage="false" showInputMessage="false" sqref="C7" type="list">
      <formula1>'Price List'!$A$2:$A$6</formula1>
      <formula2>0</formula2>
    </dataValidation>
    <dataValidation allowBlank="false" errorStyle="stop" operator="between" showDropDown="false" showErrorMessage="false" showInputMessage="false" sqref="C10" type="list">
      <formula1>'Price List'!$A$7:$A$10</formula1>
      <formula2>0</formula2>
    </dataValidation>
    <dataValidation allowBlank="false" errorStyle="stop" operator="between" showDropDown="false" showErrorMessage="false" showInputMessage="false" sqref="C12" type="list">
      <formula1>'Price List'!$A$11:$A$17</formula1>
      <formula2>0</formula2>
    </dataValidation>
    <dataValidation allowBlank="false" errorStyle="stop" operator="between" showDropDown="false" showErrorMessage="false" showInputMessage="false" sqref="C13" type="list">
      <formula1>'Price List'!$A$20:$A$21</formula1>
      <formula2>0</formula2>
    </dataValidation>
    <dataValidation allowBlank="false" errorStyle="stop" operator="between" showDropDown="false" showErrorMessage="false" showInputMessage="false" sqref="C16" type="list">
      <formula1>'Price List'!$A$18:$A$19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23" t="s">
        <v>66</v>
      </c>
      <c r="B1" s="23" t="s">
        <v>67</v>
      </c>
      <c r="C1" s="23" t="s">
        <v>68</v>
      </c>
      <c r="D1" s="23" t="s">
        <v>69</v>
      </c>
      <c r="E1" s="23" t="s">
        <v>70</v>
      </c>
      <c r="F1" s="23" t="s">
        <v>71</v>
      </c>
      <c r="G1" s="23" t="s">
        <v>72</v>
      </c>
      <c r="H1" s="23" t="s">
        <v>73</v>
      </c>
    </row>
    <row r="2" customFormat="false" ht="15" hidden="false" customHeight="false" outlineLevel="0" collapsed="false">
      <c r="A2" s="10" t="s">
        <v>6</v>
      </c>
      <c r="B2" s="10" t="s">
        <v>74</v>
      </c>
      <c r="C2" s="10" t="s">
        <v>75</v>
      </c>
      <c r="D2" s="10" t="s">
        <v>32</v>
      </c>
      <c r="E2" s="12" t="n">
        <v>6.36</v>
      </c>
      <c r="F2" s="10" t="s">
        <v>76</v>
      </c>
      <c r="G2" s="10" t="n">
        <v>6</v>
      </c>
      <c r="H2" s="10" t="s">
        <v>77</v>
      </c>
    </row>
    <row r="3" customFormat="false" ht="15" hidden="false" customHeight="false" outlineLevel="0" collapsed="false">
      <c r="A3" s="10" t="s">
        <v>78</v>
      </c>
      <c r="B3" s="10" t="s">
        <v>79</v>
      </c>
      <c r="C3" s="10" t="s">
        <v>80</v>
      </c>
      <c r="D3" s="10" t="s">
        <v>32</v>
      </c>
      <c r="E3" s="12" t="n">
        <v>5.68</v>
      </c>
      <c r="F3" s="10" t="s">
        <v>76</v>
      </c>
      <c r="G3" s="10" t="n">
        <v>6</v>
      </c>
      <c r="H3" s="10" t="s">
        <v>77</v>
      </c>
    </row>
    <row r="4" customFormat="false" ht="15" hidden="false" customHeight="false" outlineLevel="0" collapsed="false">
      <c r="A4" s="10" t="s">
        <v>81</v>
      </c>
      <c r="B4" s="10" t="s">
        <v>82</v>
      </c>
      <c r="C4" s="10" t="s">
        <v>83</v>
      </c>
      <c r="D4" s="10" t="s">
        <v>32</v>
      </c>
      <c r="E4" s="12" t="n">
        <v>4.72</v>
      </c>
      <c r="F4" s="10" t="s">
        <v>76</v>
      </c>
      <c r="G4" s="10" t="n">
        <v>6</v>
      </c>
      <c r="H4" s="10" t="s">
        <v>77</v>
      </c>
    </row>
    <row r="5" customFormat="false" ht="15" hidden="false" customHeight="false" outlineLevel="0" collapsed="false">
      <c r="A5" s="10" t="s">
        <v>84</v>
      </c>
      <c r="B5" s="10" t="s">
        <v>85</v>
      </c>
      <c r="C5" s="10" t="s">
        <v>86</v>
      </c>
      <c r="D5" s="10" t="s">
        <v>32</v>
      </c>
      <c r="E5" s="12" t="n">
        <v>7.25</v>
      </c>
      <c r="F5" s="10" t="s">
        <v>76</v>
      </c>
      <c r="G5" s="10" t="n">
        <v>8</v>
      </c>
      <c r="H5" s="10" t="s">
        <v>77</v>
      </c>
    </row>
    <row r="6" customFormat="false" ht="15" hidden="false" customHeight="false" outlineLevel="0" collapsed="false">
      <c r="A6" s="10" t="s">
        <v>87</v>
      </c>
      <c r="B6" s="10" t="s">
        <v>88</v>
      </c>
      <c r="C6" s="10" t="s">
        <v>89</v>
      </c>
      <c r="D6" s="10" t="s">
        <v>32</v>
      </c>
      <c r="E6" s="12" t="n">
        <v>9.6</v>
      </c>
      <c r="F6" s="10" t="s">
        <v>76</v>
      </c>
      <c r="G6" s="10" t="n">
        <v>8</v>
      </c>
      <c r="H6" s="10" t="s">
        <v>77</v>
      </c>
    </row>
    <row r="7" customFormat="false" ht="15" hidden="false" customHeight="false" outlineLevel="0" collapsed="false">
      <c r="A7" s="10" t="s">
        <v>10</v>
      </c>
      <c r="B7" s="10" t="s">
        <v>90</v>
      </c>
      <c r="C7" s="10" t="s">
        <v>91</v>
      </c>
      <c r="D7" s="10" t="s">
        <v>32</v>
      </c>
      <c r="E7" s="12" t="n">
        <v>6.96</v>
      </c>
      <c r="F7" s="10" t="s">
        <v>92</v>
      </c>
      <c r="G7" s="10" t="n">
        <v>8</v>
      </c>
      <c r="H7" s="10" t="s">
        <v>77</v>
      </c>
    </row>
    <row r="8" customFormat="false" ht="15" hidden="false" customHeight="false" outlineLevel="0" collapsed="false">
      <c r="A8" s="10" t="s">
        <v>93</v>
      </c>
      <c r="B8" s="10" t="s">
        <v>94</v>
      </c>
      <c r="C8" s="10" t="s">
        <v>95</v>
      </c>
      <c r="D8" s="10" t="s">
        <v>32</v>
      </c>
      <c r="E8" s="12" t="n">
        <v>10.34</v>
      </c>
      <c r="F8" s="10" t="s">
        <v>92</v>
      </c>
      <c r="G8" s="10" t="n">
        <v>10</v>
      </c>
      <c r="H8" s="10" t="s">
        <v>77</v>
      </c>
    </row>
    <row r="9" customFormat="false" ht="15" hidden="false" customHeight="false" outlineLevel="0" collapsed="false">
      <c r="A9" s="10" t="s">
        <v>96</v>
      </c>
      <c r="B9" s="10" t="s">
        <v>97</v>
      </c>
      <c r="C9" s="10" t="s">
        <v>98</v>
      </c>
      <c r="D9" s="10" t="s">
        <v>32</v>
      </c>
      <c r="E9" s="12" t="n">
        <v>13.87</v>
      </c>
      <c r="F9" s="10" t="s">
        <v>92</v>
      </c>
      <c r="G9" s="10" t="n">
        <v>8</v>
      </c>
      <c r="H9" s="10" t="s">
        <v>77</v>
      </c>
    </row>
    <row r="10" customFormat="false" ht="15" hidden="false" customHeight="false" outlineLevel="0" collapsed="false">
      <c r="A10" s="10" t="s">
        <v>99</v>
      </c>
      <c r="B10" s="10" t="s">
        <v>100</v>
      </c>
      <c r="C10" s="10" t="s">
        <v>101</v>
      </c>
      <c r="D10" s="10" t="s">
        <v>32</v>
      </c>
      <c r="E10" s="12" t="n">
        <v>11.41</v>
      </c>
      <c r="F10" s="10" t="s">
        <v>92</v>
      </c>
      <c r="G10" s="10" t="n">
        <v>8</v>
      </c>
      <c r="H10" s="10" t="s">
        <v>77</v>
      </c>
    </row>
    <row r="11" customFormat="false" ht="15" hidden="false" customHeight="false" outlineLevel="0" collapsed="false">
      <c r="A11" s="10" t="s">
        <v>102</v>
      </c>
      <c r="B11" s="10" t="s">
        <v>103</v>
      </c>
      <c r="C11" s="10" t="s">
        <v>104</v>
      </c>
      <c r="D11" s="10" t="s">
        <v>32</v>
      </c>
      <c r="E11" s="12" t="n">
        <v>36.98</v>
      </c>
      <c r="F11" s="10" t="s">
        <v>105</v>
      </c>
      <c r="G11" s="10" t="n">
        <v>8</v>
      </c>
      <c r="H11" s="10" t="s">
        <v>77</v>
      </c>
    </row>
    <row r="12" customFormat="false" ht="15" hidden="false" customHeight="false" outlineLevel="0" collapsed="false">
      <c r="A12" s="10" t="s">
        <v>106</v>
      </c>
      <c r="B12" s="10" t="s">
        <v>107</v>
      </c>
      <c r="C12" s="10" t="s">
        <v>108</v>
      </c>
      <c r="D12" s="10" t="s">
        <v>32</v>
      </c>
      <c r="E12" s="12" t="n">
        <v>42.99</v>
      </c>
      <c r="F12" s="10" t="s">
        <v>105</v>
      </c>
      <c r="G12" s="10" t="n">
        <v>10</v>
      </c>
      <c r="H12" s="10" t="s">
        <v>77</v>
      </c>
    </row>
    <row r="13" customFormat="false" ht="15" hidden="false" customHeight="false" outlineLevel="0" collapsed="false">
      <c r="A13" s="10" t="s">
        <v>109</v>
      </c>
      <c r="B13" s="10" t="s">
        <v>110</v>
      </c>
      <c r="C13" s="10" t="s">
        <v>111</v>
      </c>
      <c r="D13" s="10" t="s">
        <v>32</v>
      </c>
      <c r="E13" s="12" t="n">
        <v>18.75</v>
      </c>
      <c r="F13" s="10" t="s">
        <v>105</v>
      </c>
      <c r="G13" s="10" t="n">
        <v>8</v>
      </c>
      <c r="H13" s="10" t="s">
        <v>77</v>
      </c>
    </row>
    <row r="14" customFormat="false" ht="15" hidden="false" customHeight="false" outlineLevel="0" collapsed="false">
      <c r="A14" s="10" t="s">
        <v>112</v>
      </c>
      <c r="B14" s="10" t="s">
        <v>113</v>
      </c>
      <c r="C14" s="10" t="s">
        <v>114</v>
      </c>
      <c r="D14" s="10" t="s">
        <v>32</v>
      </c>
      <c r="E14" s="12" t="n">
        <v>40.99</v>
      </c>
      <c r="F14" s="10" t="s">
        <v>105</v>
      </c>
      <c r="G14" s="10" t="n">
        <v>10</v>
      </c>
      <c r="H14" s="10" t="s">
        <v>77</v>
      </c>
    </row>
    <row r="15" customFormat="false" ht="15" hidden="false" customHeight="false" outlineLevel="0" collapsed="false">
      <c r="A15" s="10" t="s">
        <v>13</v>
      </c>
      <c r="B15" s="10" t="s">
        <v>115</v>
      </c>
      <c r="C15" s="10" t="s">
        <v>116</v>
      </c>
      <c r="D15" s="10" t="s">
        <v>32</v>
      </c>
      <c r="E15" s="12" t="n">
        <v>11.98</v>
      </c>
      <c r="F15" s="10" t="s">
        <v>105</v>
      </c>
      <c r="G15" s="10" t="n">
        <v>8</v>
      </c>
      <c r="H15" s="10" t="s">
        <v>117</v>
      </c>
    </row>
    <row r="16" customFormat="false" ht="15" hidden="false" customHeight="false" outlineLevel="0" collapsed="false">
      <c r="A16" s="10" t="s">
        <v>118</v>
      </c>
      <c r="B16" s="10" t="s">
        <v>119</v>
      </c>
      <c r="C16" s="10" t="s">
        <v>120</v>
      </c>
      <c r="D16" s="10" t="s">
        <v>32</v>
      </c>
      <c r="E16" s="12" t="n">
        <v>18.38</v>
      </c>
      <c r="F16" s="10" t="s">
        <v>105</v>
      </c>
      <c r="G16" s="10" t="n">
        <v>10</v>
      </c>
      <c r="H16" s="10" t="s">
        <v>117</v>
      </c>
    </row>
    <row r="17" customFormat="false" ht="15" hidden="false" customHeight="false" outlineLevel="0" collapsed="false">
      <c r="A17" s="10" t="s">
        <v>121</v>
      </c>
      <c r="B17" s="10" t="s">
        <v>122</v>
      </c>
      <c r="C17" s="10" t="s">
        <v>123</v>
      </c>
      <c r="D17" s="10" t="s">
        <v>32</v>
      </c>
      <c r="E17" s="12" t="n">
        <v>21.68</v>
      </c>
      <c r="F17" s="10" t="s">
        <v>105</v>
      </c>
      <c r="G17" s="10" t="n">
        <v>12</v>
      </c>
      <c r="H17" s="10" t="s">
        <v>117</v>
      </c>
    </row>
    <row r="18" customFormat="false" ht="15" hidden="false" customHeight="false" outlineLevel="0" collapsed="false">
      <c r="A18" s="10" t="s">
        <v>20</v>
      </c>
      <c r="B18" s="10" t="s">
        <v>124</v>
      </c>
      <c r="C18" s="10" t="s">
        <v>125</v>
      </c>
      <c r="D18" s="10" t="s">
        <v>32</v>
      </c>
      <c r="E18" s="12" t="n">
        <v>28</v>
      </c>
      <c r="F18" s="10" t="s">
        <v>126</v>
      </c>
      <c r="G18" s="10" t="n">
        <v>8</v>
      </c>
      <c r="H18" s="10" t="s">
        <v>77</v>
      </c>
    </row>
    <row r="19" customFormat="false" ht="15" hidden="false" customHeight="false" outlineLevel="0" collapsed="false">
      <c r="A19" s="10" t="s">
        <v>127</v>
      </c>
      <c r="B19" s="10" t="s">
        <v>128</v>
      </c>
      <c r="C19" s="10" t="s">
        <v>129</v>
      </c>
      <c r="D19" s="10" t="s">
        <v>32</v>
      </c>
      <c r="E19" s="12" t="n">
        <v>59.2</v>
      </c>
      <c r="F19" s="10" t="s">
        <v>126</v>
      </c>
      <c r="G19" s="10" t="n">
        <v>16</v>
      </c>
      <c r="H19" s="10" t="s">
        <v>77</v>
      </c>
    </row>
    <row r="20" customFormat="false" ht="15" hidden="false" customHeight="false" outlineLevel="0" collapsed="false">
      <c r="A20" s="10" t="s">
        <v>15</v>
      </c>
      <c r="B20" s="10" t="s">
        <v>130</v>
      </c>
      <c r="C20" s="10" t="s">
        <v>131</v>
      </c>
      <c r="D20" s="10" t="s">
        <v>36</v>
      </c>
      <c r="E20" s="12" t="n">
        <v>4.68</v>
      </c>
      <c r="F20" s="10" t="s">
        <v>132</v>
      </c>
      <c r="G20" s="10"/>
      <c r="H20" s="10" t="s">
        <v>117</v>
      </c>
    </row>
    <row r="21" customFormat="false" ht="15" hidden="false" customHeight="false" outlineLevel="0" collapsed="false">
      <c r="A21" s="10" t="s">
        <v>133</v>
      </c>
      <c r="B21" s="10" t="s">
        <v>134</v>
      </c>
      <c r="C21" s="10" t="s">
        <v>135</v>
      </c>
      <c r="D21" s="10" t="s">
        <v>36</v>
      </c>
      <c r="E21" s="12" t="n">
        <v>6.24</v>
      </c>
      <c r="F21" s="10" t="s">
        <v>132</v>
      </c>
      <c r="G21" s="10"/>
      <c r="H21" s="10" t="s">
        <v>117</v>
      </c>
    </row>
    <row r="22" customFormat="false" ht="15" hidden="false" customHeight="false" outlineLevel="0" collapsed="false">
      <c r="A22" s="10" t="s">
        <v>136</v>
      </c>
      <c r="B22" s="10" t="s">
        <v>137</v>
      </c>
      <c r="C22" s="10" t="s">
        <v>138</v>
      </c>
      <c r="D22" s="10" t="s">
        <v>32</v>
      </c>
      <c r="E22" s="12" t="n">
        <v>8.01</v>
      </c>
      <c r="F22" s="10" t="s">
        <v>139</v>
      </c>
      <c r="G22" s="10" t="n">
        <v>8</v>
      </c>
      <c r="H22" s="10" t="s">
        <v>77</v>
      </c>
    </row>
    <row r="23" customFormat="false" ht="15" hidden="false" customHeight="false" outlineLevel="0" collapsed="false">
      <c r="A23" s="10" t="s">
        <v>140</v>
      </c>
      <c r="B23" s="10" t="s">
        <v>141</v>
      </c>
      <c r="C23" s="10" t="s">
        <v>142</v>
      </c>
      <c r="D23" s="10" t="s">
        <v>32</v>
      </c>
      <c r="E23" s="12" t="n">
        <v>16.53</v>
      </c>
      <c r="F23" s="10" t="s">
        <v>139</v>
      </c>
      <c r="G23" s="10" t="n">
        <v>16</v>
      </c>
      <c r="H23" s="10" t="s">
        <v>77</v>
      </c>
    </row>
    <row r="25" customFormat="false" ht="15" hidden="false" customHeight="false" outlineLevel="0" collapsed="false">
      <c r="A25" s="8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24" t="s">
        <v>0</v>
      </c>
    </row>
    <row r="2" customFormat="false" ht="15" hidden="false" customHeight="false" outlineLevel="0" collapsed="false">
      <c r="A2" s="25"/>
    </row>
    <row r="3" customFormat="false" ht="15" hidden="false" customHeight="false" outlineLevel="0" collapsed="false">
      <c r="A3" s="26" t="s">
        <v>144</v>
      </c>
    </row>
    <row r="4" customFormat="false" ht="15" hidden="false" customHeight="false" outlineLevel="0" collapsed="false">
      <c r="A4" s="25" t="s">
        <v>145</v>
      </c>
    </row>
    <row r="5" customFormat="false" ht="15" hidden="false" customHeight="false" outlineLevel="0" collapsed="false">
      <c r="A5" s="25" t="s">
        <v>146</v>
      </c>
    </row>
    <row r="6" customFormat="false" ht="15" hidden="false" customHeight="false" outlineLevel="0" collapsed="false">
      <c r="A6" s="25"/>
    </row>
    <row r="7" customFormat="false" ht="15" hidden="false" customHeight="false" outlineLevel="0" collapsed="false">
      <c r="A7" s="26" t="s">
        <v>147</v>
      </c>
    </row>
    <row r="8" customFormat="false" ht="15" hidden="false" customHeight="false" outlineLevel="0" collapsed="false">
      <c r="A8" s="25" t="s">
        <v>148</v>
      </c>
    </row>
    <row r="9" customFormat="false" ht="15" hidden="false" customHeight="false" outlineLevel="0" collapsed="false">
      <c r="A9" s="25" t="s">
        <v>149</v>
      </c>
    </row>
    <row r="10" customFormat="false" ht="15" hidden="false" customHeight="false" outlineLevel="0" collapsed="false">
      <c r="A10" s="25" t="s">
        <v>150</v>
      </c>
    </row>
    <row r="11" customFormat="false" ht="15" hidden="false" customHeight="false" outlineLevel="0" collapsed="false">
      <c r="A11" s="25" t="s">
        <v>151</v>
      </c>
    </row>
    <row r="12" customFormat="false" ht="15" hidden="false" customHeight="false" outlineLevel="0" collapsed="false">
      <c r="A12" s="25" t="s">
        <v>152</v>
      </c>
    </row>
    <row r="13" customFormat="false" ht="15" hidden="false" customHeight="false" outlineLevel="0" collapsed="false">
      <c r="A13" s="25" t="s">
        <v>153</v>
      </c>
    </row>
    <row r="14" customFormat="false" ht="15" hidden="false" customHeight="false" outlineLevel="0" collapsed="false">
      <c r="A14" s="25"/>
    </row>
    <row r="15" customFormat="false" ht="15" hidden="false" customHeight="false" outlineLevel="0" collapsed="false">
      <c r="A15" s="26" t="s">
        <v>154</v>
      </c>
    </row>
    <row r="16" customFormat="false" ht="15" hidden="false" customHeight="false" outlineLevel="0" collapsed="false">
      <c r="A16" s="25" t="s">
        <v>155</v>
      </c>
    </row>
    <row r="17" customFormat="false" ht="26.85" hidden="false" customHeight="false" outlineLevel="0" collapsed="false">
      <c r="A17" s="25" t="s">
        <v>156</v>
      </c>
    </row>
    <row r="18" customFormat="false" ht="15" hidden="false" customHeight="false" outlineLevel="0" collapsed="false">
      <c r="A18" s="25" t="s">
        <v>157</v>
      </c>
    </row>
    <row r="19" customFormat="false" ht="15" hidden="false" customHeight="false" outlineLevel="0" collapsed="false">
      <c r="A19" s="25" t="s">
        <v>158</v>
      </c>
    </row>
    <row r="20" customFormat="false" ht="15" hidden="false" customHeight="false" outlineLevel="0" collapsed="false">
      <c r="A20" s="25" t="s">
        <v>159</v>
      </c>
    </row>
    <row r="21" customFormat="false" ht="15" hidden="false" customHeight="false" outlineLevel="0" collapsed="false">
      <c r="A21" s="25" t="s">
        <v>160</v>
      </c>
    </row>
    <row r="22" customFormat="false" ht="15" hidden="false" customHeight="false" outlineLevel="0" collapsed="false">
      <c r="A22" s="25" t="s">
        <v>161</v>
      </c>
    </row>
    <row r="23" customFormat="false" ht="26.85" hidden="false" customHeight="false" outlineLevel="0" collapsed="false">
      <c r="A23" s="25" t="s">
        <v>162</v>
      </c>
    </row>
    <row r="24" customFormat="false" ht="15" hidden="false" customHeight="false" outlineLevel="0" collapsed="false">
      <c r="A24" s="25"/>
    </row>
    <row r="25" customFormat="false" ht="15" hidden="false" customHeight="false" outlineLevel="0" collapsed="false">
      <c r="A25" s="26" t="s">
        <v>163</v>
      </c>
    </row>
    <row r="26" customFormat="false" ht="15" hidden="false" customHeight="false" outlineLevel="0" collapsed="false">
      <c r="A26" s="25" t="s">
        <v>164</v>
      </c>
    </row>
    <row r="27" customFormat="false" ht="15" hidden="false" customHeight="false" outlineLevel="0" collapsed="false">
      <c r="A27" s="25" t="s">
        <v>165</v>
      </c>
    </row>
    <row r="28" customFormat="false" ht="15" hidden="false" customHeight="false" outlineLevel="0" collapsed="false">
      <c r="A28" s="25" t="s">
        <v>166</v>
      </c>
    </row>
    <row r="29" customFormat="false" ht="15" hidden="false" customHeight="false" outlineLevel="0" collapsed="false">
      <c r="A29" s="25" t="s">
        <v>167</v>
      </c>
    </row>
    <row r="30" customFormat="false" ht="15" hidden="false" customHeight="false" outlineLevel="0" collapsed="false">
      <c r="A30" s="25"/>
    </row>
    <row r="31" customFormat="false" ht="15" hidden="false" customHeight="false" outlineLevel="0" collapsed="false">
      <c r="A31" s="26" t="s">
        <v>168</v>
      </c>
    </row>
    <row r="32" customFormat="false" ht="15" hidden="false" customHeight="false" outlineLevel="0" collapsed="false">
      <c r="A32" s="25" t="s">
        <v>169</v>
      </c>
    </row>
    <row r="33" customFormat="false" ht="15" hidden="false" customHeight="false" outlineLevel="0" collapsed="false">
      <c r="A33" s="25" t="s">
        <v>170</v>
      </c>
    </row>
    <row r="34" customFormat="false" ht="15" hidden="false" customHeight="false" outlineLevel="0" collapsed="false">
      <c r="A34" s="25"/>
    </row>
    <row r="35" customFormat="false" ht="15" hidden="false" customHeight="false" outlineLevel="0" collapsed="false">
      <c r="A35" s="26" t="s">
        <v>171</v>
      </c>
    </row>
    <row r="36" customFormat="false" ht="26.85" hidden="false" customHeight="false" outlineLevel="0" collapsed="false">
      <c r="A36" s="25" t="s">
        <v>172</v>
      </c>
    </row>
    <row r="37" customFormat="false" ht="26.85" hidden="false" customHeight="false" outlineLevel="0" collapsed="false">
      <c r="A37" s="25" t="s">
        <v>173</v>
      </c>
    </row>
    <row r="38" customFormat="false" ht="15" hidden="false" customHeight="false" outlineLevel="0" collapsed="false">
      <c r="A38" s="2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2026-06-06T01:35:34Z</dcterms:created>
  <dc:creator>openpyxl</dc:creator>
  <dc:description/>
  <dc:language>en-US</dc:language>
  <cp:lastModifiedBy/>
  <dcterms:modified xsi:type="dcterms:W3CDTF">2026-06-06T01:35:34Z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